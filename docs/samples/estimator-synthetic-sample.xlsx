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4ea8a56fd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結論" sheetId="1" r:id="Rfdfee8381d884f8e"/>
    <x:sheet xmlns:r="http://schemas.openxmlformats.org/officeDocument/2006/relationships" name="01_内訳" sheetId="2" r:id="R3ee45b407c9b4ca7"/>
    <x:sheet xmlns:r="http://schemas.openxmlformats.org/officeDocument/2006/relationships" name="03_WBS" sheetId="3" r:id="R1f2546de2cc745da"/>
    <x:sheet xmlns:r="http://schemas.openxmlformats.org/officeDocument/2006/relationships" name="10_AI補正" sheetId="4" r:id="R808dfdf4ba644f35"/>
    <x:sheet xmlns:r="http://schemas.openxmlformats.org/officeDocument/2006/relationships" name="18_親統合" sheetId="5" r:id="R1576bf84fbfe4433"/>
    <x:sheet xmlns:r="http://schemas.openxmlformats.org/officeDocument/2006/relationships" name="15_前提リスク" sheetId="6" r:id="R11f2bbff8dad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6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200" fontId="5" fillId="5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c309d24804741" /><Relationship Type="http://schemas.openxmlformats.org/officeDocument/2006/relationships/theme" Target="/xl/theme/theme1.xml" Id="R27ac3432db8c4e42" /><Relationship Type="http://schemas.openxmlformats.org/officeDocument/2006/relationships/sharedStrings" Target="/xl/sharedStrings.xml" Id="R95a60ed010f14006" /><Relationship Type="http://schemas.openxmlformats.org/officeDocument/2006/relationships/worksheet" Target="/xl/worksheets/sheet1.xml" Id="Rfdfee8381d884f8e" /><Relationship Type="http://schemas.openxmlformats.org/officeDocument/2006/relationships/worksheet" Target="/xl/worksheets/sheet2.xml" Id="R3ee45b407c9b4ca7" /><Relationship Type="http://schemas.openxmlformats.org/officeDocument/2006/relationships/worksheet" Target="/xl/worksheets/sheet3.xml" Id="R1f2546de2cc745da" /><Relationship Type="http://schemas.openxmlformats.org/officeDocument/2006/relationships/worksheet" Target="/xl/worksheets/sheet4.xml" Id="R808dfdf4ba644f35" /><Relationship Type="http://schemas.openxmlformats.org/officeDocument/2006/relationships/worksheet" Target="/xl/worksheets/sheet5.xml" Id="R1576bf84fbfe4433" /><Relationship Type="http://schemas.openxmlformats.org/officeDocument/2006/relationships/worksheet" Target="/xl/worksheets/sheet6.xml" Id="R11f2bbff8dad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見積もりワークブック・サンプル</x:v>
      </x:c>
      <x:c r="B1" s="3"/>
      <x:c r="C1" s="3"/>
      <x:c r="D1" s="3"/>
      <x:c r="E1" s="3"/>
      <x:c r="F1" s="3"/>
    </x:row>
    <x:row r="3" ht="34" customHeight="1">
      <x:c r="A3" s="6" t="str">
        <x:v>架空ケース: 地域イベント申込管理（合成データ。実在の組織・個人・金額を含みません）</x:v>
      </x:c>
      <x:c r="B3" s="6"/>
      <x:c r="C3" s="6"/>
      <x:c r="D3" s="6"/>
      <x:c r="E3" s="6"/>
      <x:c r="F3" s="6"/>
    </x:row>
    <x:row r="5">
      <x:c r="A5" s="11" t="str">
        <x:v>見積範囲</x:v>
      </x:c>
      <x:c r="B5" s="11" t="str">
        <x:v>Low</x:v>
      </x:c>
      <x:c r="C5" s="11" t="str">
        <x:v>Base</x:v>
      </x:c>
      <x:c r="D5" s="11" t="str">
        <x:v>High</x:v>
      </x:c>
    </x:row>
    <x:row r="6">
      <x:c r="A6" s="17" t="str">
        <x:v>Raw baseline</x:v>
      </x:c>
      <x:c r="B6" s="19" t="n">
        <x:f>'03_WBS'!D10</x:f>
        <x:v>17</x:v>
      </x:c>
      <x:c r="C6" s="19" t="n">
        <x:f>'03_WBS'!E10</x:f>
        <x:v>23</x:v>
      </x:c>
      <x:c r="D6" s="19" t="n">
        <x:f>'03_WBS'!F10</x:f>
        <x:v>32</x:v>
      </x:c>
    </x:row>
    <x:row r="7">
      <x:c r="A7" s="18" t="str">
        <x:v>AI支援後</x:v>
      </x:c>
      <x:c r="B7" s="20" t="n">
        <x:f>'10_AI補正'!H10</x:f>
        <x:v>14.3</x:v>
      </x:c>
      <x:c r="C7" s="20" t="n">
        <x:f>'10_AI補正'!I10</x:f>
        <x:v>19.4</x:v>
      </x:c>
      <x:c r="D7" s="20" t="n">
        <x:f>'10_AI補正'!J10</x:f>
        <x:v>27.1</x:v>
      </x:c>
    </x:row>
    <x:row r="9" ht="42" customHeight="1">
      <x:c r="A9" s="22" t="str">
        <x:v>このサンプルは、raw baseline、行別AI補正、固定係数、親統合、前提リスクの監査線を確認するための合成成果物です。</x:v>
      </x:c>
      <x:c r="B9" s="22"/>
      <x:c r="C9" s="22"/>
      <x:c r="D9" s="22"/>
      <x:c r="E9" s="22"/>
      <x:c r="F9" s="22"/>
    </x:row>
  </x:sheetData>
  <x:mergeCells>
    <x:mergeCell ref="A1:F1"/>
    <x:mergeCell ref="A3:F3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24" hidden="0" customWidth="1"/>
  </x:cols>
  <x:sheetData>
    <x:row r="1" ht="30" customHeight="1">
      <x:c r="A1" s="3" t="str">
        <x:v>工程別内訳</x:v>
      </x:c>
      <x:c r="B1" s="3"/>
      <x:c r="C1" s="3"/>
      <x:c r="D1" s="3"/>
      <x:c r="E1" s="3"/>
      <x:c r="F1" s="3"/>
      <x:c r="G1" s="3"/>
    </x:row>
    <x:row r="3">
      <x:c r="A3" s="11" t="str">
        <x:v>分類</x:v>
      </x:c>
      <x:c r="B3" s="11" t="str">
        <x:v>Raw Base</x:v>
      </x:c>
      <x:c r="C3" s="11" t="str">
        <x:v>Adjusted Base</x:v>
      </x:c>
      <x:c r="D3" s="11" t="str">
        <x:v>差分</x:v>
      </x:c>
      <x:c r="E3" s="11" t="str">
        <x:v>削減率</x:v>
      </x:c>
      <x:c r="F3" s="11" t="str">
        <x:v>主な作業</x:v>
      </x:c>
      <x:c r="G3" s="11" t="str">
        <x:v>参照</x:v>
      </x:c>
    </x:row>
    <x:row r="4">
      <x:c r="A4" s="17" t="str">
        <x:v>基盤</x:v>
      </x:c>
      <x:c r="B4" s="19" t="n">
        <x:f>SUMIF('03_WBS'!$A$4:$A$9,A4,'03_WBS'!$E$4:$E$9)</x:f>
        <x:v>3</x:v>
      </x:c>
      <x:c r="C4" s="19" t="n">
        <x:f>SUMIF('10_AI補正'!$A$4:$A$9,A4,'10_AI補正'!$I$4:$I$9)</x:f>
        <x:v>2.1</x:v>
      </x:c>
      <x:c r="D4" s="19" t="n">
        <x:f>C4-B4</x:f>
        <x:v>-0.8999999999999999</x:v>
      </x:c>
      <x:c r="E4" s="26" t="n">
        <x:f>IF(B4=0,0,-D4/B4)</x:f>
        <x:v>0.3</x:v>
      </x:c>
      <x:c r="F4" s="17" t="str">
        <x:v>入力シート整備</x:v>
      </x:c>
      <x:c r="G4" s="17" t="str">
        <x:v>03_WBS / 10_AI補正</x:v>
      </x:c>
    </x:row>
    <x:row r="5">
      <x:c r="A5" s="18" t="str">
        <x:v>実装・検証</x:v>
      </x:c>
      <x:c r="B5" s="20" t="n">
        <x:f>SUMIF('03_WBS'!$A$4:$A$9,"実装",'03_WBS'!$E$4:$E$9)+SUMIF('03_WBS'!$A$4:$A$9,"検証",'03_WBS'!$E$4:$E$9)</x:f>
        <x:v>17</x:v>
      </x:c>
      <x:c r="C5" s="20" t="n">
        <x:f>SUMIF('10_AI補正'!$A$4:$A$9,"実装",'10_AI補正'!$I$4:$I$9)+SUMIF('10_AI補正'!$A$4:$A$9,"検証",'10_AI補正'!$I$4:$I$9)</x:f>
        <x:v>14.3</x:v>
      </x:c>
      <x:c r="D5" s="20" t="n">
        <x:f>C5-B5</x:f>
        <x:v>-2.6999999999999993</x:v>
      </x:c>
      <x:c r="E5" s="27" t="n">
        <x:f>IF(B5=0,0,-D5/B5)</x:f>
        <x:v>0.15882352941176467</x:v>
      </x:c>
      <x:c r="F5" s="18" t="str">
        <x:v>CSV取込、マスタ対応、採番・数式配線、テンプレート出力確認</x:v>
      </x:c>
      <x:c r="G5" s="18" t="str">
        <x:v>03_WBS / 10_AI補正</x:v>
      </x:c>
    </x:row>
    <x:row r="6">
      <x:c r="A6" s="18" t="str">
        <x:v>管理</x:v>
      </x:c>
      <x:c r="B6" s="20" t="n">
        <x:f>SUMIF('03_WBS'!$A$4:$A$9,A6,'03_WBS'!$E$4:$E$9)</x:f>
        <x:v>3</x:v>
      </x:c>
      <x:c r="C6" s="20" t="n">
        <x:f>SUMIF('10_AI補正'!$A$4:$A$9,A6,'10_AI補正'!$I$4:$I$9)</x:f>
        <x:v>3</x:v>
      </x:c>
      <x:c r="D6" s="20" t="n">
        <x:f>C6-B6</x:f>
        <x:v>0</x:v>
      </x:c>
      <x:c r="E6" s="27" t="n">
        <x:f>IF(B6=0,0,-D6/B6)</x:f>
        <x:v>0</x:v>
      </x:c>
      <x:c r="F6" s="18" t="str">
        <x:v>受入・引継ぎ</x:v>
      </x:c>
      <x:c r="G6" s="18" t="str">
        <x:v>03_WBS / 10_AI補正</x:v>
      </x:c>
    </x:row>
    <x:row r="7">
      <x:c r="A7" s="24" t="str">
        <x:v>合計</x:v>
      </x:c>
      <x:c r="B7" s="25" t="n">
        <x:f>SUM(B4:B6)</x:f>
        <x:v>23</x:v>
      </x:c>
      <x:c r="C7" s="25" t="n">
        <x:f>SUM(C4:C6)</x:f>
        <x:v>19.400000000000002</x:v>
      </x:c>
      <x:c r="D7" s="25" t="n">
        <x:f>C7-B7</x:f>
        <x:v>-3.599999999999998</x:v>
      </x:c>
      <x:c r="E7" s="28" t="n">
        <x:f>IF(B7=0,0,-D7/B7)</x:f>
        <x:v>0.15652173913043468</x:v>
      </x:c>
      <x:c r="F7" s="24" t="str">
        <x:v>監査可能な工程集計</x:v>
      </x:c>
      <x:c r="G7" s="24"/>
    </x:row>
  </x:sheetData>
  <x:mergeCells>
    <x:mergeCell ref="A1:G1"/>
    <x:mergeCell ref="F7:G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 ht="30" customHeight="1">
      <x:c r="A1" s="3" t="str">
        <x:v>WBS（合成データ）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分類</x:v>
      </x:c>
      <x:c r="B3" s="11" t="str">
        <x:v>作業</x:v>
      </x:c>
      <x:c r="C3" s="11" t="str">
        <x:v>説明</x:v>
      </x:c>
      <x:c r="D3" s="11" t="str">
        <x:v>Low</x:v>
      </x:c>
      <x:c r="E3" s="11" t="str">
        <x:v>Most likely</x:v>
      </x:c>
      <x:c r="F3" s="11" t="str">
        <x:v>High</x:v>
      </x:c>
      <x:c r="G3" s="11" t="str">
        <x:v>AI削減区分</x:v>
      </x:c>
      <x:c r="H3" s="11" t="str">
        <x:v>根拠</x:v>
      </x:c>
    </x:row>
    <x:row r="4">
      <x:c r="A4" s="17" t="str">
        <x:v>基盤</x:v>
      </x:c>
      <x:c r="B4" s="17" t="str">
        <x:v>入力シート整備</x:v>
      </x:c>
      <x:c r="C4" s="17" t="str">
        <x:v>入力列、検証規則、初期レイアウト</x:v>
      </x:c>
      <x:c r="D4" s="19" t="n">
        <x:v>2</x:v>
      </x:c>
      <x:c r="E4" s="19" t="n">
        <x:v>3</x:v>
      </x:c>
      <x:c r="F4" s="19" t="n">
        <x:v>4</x:v>
      </x:c>
      <x:c r="G4" s="17" t="str">
        <x:v>定型実装</x:v>
      </x:c>
      <x:c r="H4" s="17" t="str">
        <x:v>既存パターンを再利用する合成ケース</x:v>
      </x:c>
    </x:row>
    <x:row r="5">
      <x:c r="A5" s="18" t="str">
        <x:v>実装</x:v>
      </x:c>
      <x:c r="B5" s="18" t="str">
        <x:v>CSV取込</x:v>
      </x:c>
      <x:c r="C5" s="18" t="str">
        <x:v>申込CSVを入力シートへ取り込む</x:v>
      </x:c>
      <x:c r="D5" s="20" t="n">
        <x:v>3</x:v>
      </x:c>
      <x:c r="E5" s="20" t="n">
        <x:v>4</x:v>
      </x:c>
      <x:c r="F5" s="20" t="n">
        <x:v>5</x:v>
      </x:c>
      <x:c r="G5" s="18" t="str">
        <x:v>定型実装</x:v>
      </x:c>
      <x:c r="H5" s="18" t="str">
        <x:v>形式が固定された単純取込</x:v>
      </x:c>
    </x:row>
    <x:row r="6">
      <x:c r="A6" s="18" t="str">
        <x:v>実装</x:v>
      </x:c>
      <x:c r="B6" s="18" t="str">
        <x:v>マスタ対応</x:v>
      </x:c>
      <x:c r="C6" s="18" t="str">
        <x:v>会場コードを架空マスタへ対応付ける</x:v>
      </x:c>
      <x:c r="D6" s="20" t="n">
        <x:v>3</x:v>
      </x:c>
      <x:c r="E6" s="20" t="n">
        <x:v>4</x:v>
      </x:c>
      <x:c r="F6" s="20" t="n">
        <x:v>6</x:v>
      </x:c>
      <x:c r="G6" s="18" t="str">
        <x:v>コード隣接</x:v>
      </x:c>
      <x:c r="H6" s="18" t="str">
        <x:v>明確な対応表と異常系確認</x:v>
      </x:c>
    </x:row>
    <x:row r="7">
      <x:c r="A7" s="18" t="str">
        <x:v>実装</x:v>
      </x:c>
      <x:c r="B7" s="18" t="str">
        <x:v>採番・数式配線</x:v>
      </x:c>
      <x:c r="C7" s="18" t="str">
        <x:v>受付番号と集計数式を設定する</x:v>
      </x:c>
      <x:c r="D7" s="20" t="n">
        <x:v>4</x:v>
      </x:c>
      <x:c r="E7" s="20" t="n">
        <x:v>5</x:v>
      </x:c>
      <x:c r="F7" s="20" t="n">
        <x:v>7</x:v>
      </x:c>
      <x:c r="G7" s="18" t="str">
        <x:v>コード隣接</x:v>
      </x:c>
      <x:c r="H7" s="18" t="str">
        <x:v>定義済み規則と結合確認</x:v>
      </x:c>
    </x:row>
    <x:row r="8">
      <x:c r="A8" s="18" t="str">
        <x:v>検証</x:v>
      </x:c>
      <x:c r="B8" s="18" t="str">
        <x:v>テンプレート出力確認</x:v>
      </x:c>
      <x:c r="C8" s="18" t="str">
        <x:v>印刷レイアウトを厳密に確認する</x:v>
      </x:c>
      <x:c r="D8" s="20" t="n">
        <x:v>3</x:v>
      </x:c>
      <x:c r="E8" s="20" t="n">
        <x:v>4</x:v>
      </x:c>
      <x:c r="F8" s="20" t="n">
        <x:v>6</x:v>
      </x:c>
      <x:c r="G8" s="18" t="str">
        <x:v>検証重</x:v>
      </x:c>
      <x:c r="H8" s="18" t="str">
        <x:v>厳密な印刷再現を含むため検証中心</x:v>
      </x:c>
    </x:row>
    <x:row r="9">
      <x:c r="A9" s="18" t="str">
        <x:v>管理</x:v>
      </x:c>
      <x:c r="B9" s="18" t="str">
        <x:v>受入・引継ぎ</x:v>
      </x:c>
      <x:c r="C9" s="18" t="str">
        <x:v>利用者確認と操作説明</x:v>
      </x:c>
      <x:c r="D9" s="20" t="n">
        <x:v>2</x:v>
      </x:c>
      <x:c r="E9" s="20" t="n">
        <x:v>3</x:v>
      </x:c>
      <x:c r="F9" s="20" t="n">
        <x:v>4</x:v>
      </x:c>
      <x:c r="G9" s="18" t="str">
        <x:v>削減不可</x:v>
      </x:c>
      <x:c r="H9" s="18" t="str">
        <x:v>人間による受入と引継ぎ</x:v>
      </x:c>
    </x:row>
    <x:row r="10">
      <x:c r="A10" s="29" t="str">
        <x:v>合計</x:v>
      </x:c>
      <x:c r="B10" s="24"/>
      <x:c r="C10" s="24"/>
      <x:c r="D10" s="25" t="n">
        <x:f>SUM(D4:D9)</x:f>
        <x:v>17</x:v>
      </x:c>
      <x:c r="E10" s="25" t="n">
        <x:f>SUM(E4:E9)</x:f>
        <x:v>23</x:v>
      </x:c>
      <x:c r="F10" s="25" t="n">
        <x:f>SUM(F4:F9)</x:f>
        <x:v>32</x:v>
      </x:c>
      <x:c r="G10" s="24" t="str">
        <x:v>Raw baseline</x:v>
      </x:c>
      <x:c r="H10" s="30"/>
    </x:row>
  </x:sheetData>
  <x:mergeCells>
    <x:mergeCell ref="A1:H1"/>
    <x:mergeCell ref="A10:C10"/>
    <x:mergeCell ref="G10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22" hidden="0" customWidth="1"/>
    <x:col min="14" max="14" width="48" hidden="0" customWidth="1"/>
  </x:cols>
  <x:sheetData>
    <x:row r="1" ht="30" customHeight="1">
      <x:c r="A1" s="3" t="str">
        <x:v>AI補正 行レベル監査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1" t="str">
        <x:v>AI削減区分はWBS作成者が行ごとに判断し、倍率は固定定数を適用。raw baselineは変更しません。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11" t="str">
        <x:v>WBS分類</x:v>
      </x:c>
      <x:c r="B3" s="11" t="str">
        <x:v>WBS作業</x:v>
      </x:c>
      <x:c r="C3" s="11" t="str">
        <x:v>AI削減区分</x:v>
      </x:c>
      <x:c r="D3" s="11" t="str">
        <x:v>Raw Low</x:v>
      </x:c>
      <x:c r="E3" s="11" t="str">
        <x:v>Raw Base</x:v>
      </x:c>
      <x:c r="F3" s="11" t="str">
        <x:v>Raw High</x:v>
      </x:c>
      <x:c r="G3" s="11" t="str">
        <x:v>固定倍率</x:v>
      </x:c>
      <x:c r="H3" s="11" t="str">
        <x:v>Adjusted Low</x:v>
      </x:c>
      <x:c r="I3" s="11" t="str">
        <x:v>Adjusted Base</x:v>
      </x:c>
      <x:c r="J3" s="11" t="str">
        <x:v>Adjusted High</x:v>
      </x:c>
      <x:c r="K3" s="11" t="str">
        <x:v>Base差分</x:v>
      </x:c>
      <x:c r="L3" s="11" t="str">
        <x:v>判断者</x:v>
      </x:c>
      <x:c r="M3" s="11" t="str">
        <x:v>係数権限</x:v>
      </x:c>
      <x:c r="N3" s="11" t="str">
        <x:v>根拠</x:v>
      </x:c>
    </x:row>
    <x:row r="4">
      <x:c r="A4" s="17" t="str">
        <x:f>'03_WBS'!A4</x:f>
        <x:v>基盤</x:v>
      </x:c>
      <x:c r="B4" s="17" t="str">
        <x:f>'03_WBS'!B4</x:f>
        <x:v>入力シート整備</x:v>
      </x:c>
      <x:c r="C4" s="17" t="str">
        <x:f>'03_WBS'!G4</x:f>
        <x:v>定型実装</x:v>
      </x:c>
      <x:c r="D4" s="19" t="n">
        <x:f>'03_WBS'!D4</x:f>
        <x:v>2</x:v>
      </x:c>
      <x:c r="E4" s="19" t="n">
        <x:f>'03_WBS'!E4</x:f>
        <x:v>3</x:v>
      </x:c>
      <x:c r="F4" s="19" t="n">
        <x:f>'03_WBS'!F4</x:f>
        <x:v>4</x:v>
      </x:c>
      <x:c r="G4" s="32" t="n">
        <x:v>0.7</x:v>
      </x:c>
      <x:c r="H4" s="19" t="n">
        <x:f>ROUND(D4*G4,1)</x:f>
        <x:v>1.4</x:v>
      </x:c>
      <x:c r="I4" s="19" t="n">
        <x:f>ROUND(E4*G4,1)</x:f>
        <x:v>2.1</x:v>
      </x:c>
      <x:c r="J4" s="19" t="n">
        <x:f>ROUND(F4*G4,1)</x:f>
        <x:v>2.8</x:v>
      </x:c>
      <x:c r="K4" s="19" t="n">
        <x:f>ROUND(I4-E4,1)</x:f>
        <x:v>-0.9</x:v>
      </x:c>
      <x:c r="L4" s="17" t="str">
        <x:v>WBS作成者</x:v>
      </x:c>
      <x:c r="M4" s="17" t="str">
        <x:v>固定係数（参照定数）</x:v>
      </x:c>
      <x:c r="N4" s="17" t="str">
        <x:v>WBS根拠: 既存パターン再利用 / 係数根拠: 定型実装 0.70</x:v>
      </x:c>
    </x:row>
    <x:row r="5">
      <x:c r="A5" s="18" t="str">
        <x:f>'03_WBS'!A5</x:f>
        <x:v>実装</x:v>
      </x:c>
      <x:c r="B5" s="18" t="str">
        <x:f>'03_WBS'!B5</x:f>
        <x:v>CSV取込</x:v>
      </x:c>
      <x:c r="C5" s="18" t="str">
        <x:f>'03_WBS'!G5</x:f>
        <x:v>定型実装</x:v>
      </x:c>
      <x:c r="D5" s="20" t="n">
        <x:f>'03_WBS'!D5</x:f>
        <x:v>3</x:v>
      </x:c>
      <x:c r="E5" s="20" t="n">
        <x:f>'03_WBS'!E5</x:f>
        <x:v>4</x:v>
      </x:c>
      <x:c r="F5" s="20" t="n">
        <x:f>'03_WBS'!F5</x:f>
        <x:v>5</x:v>
      </x:c>
      <x:c r="G5" s="33" t="n">
        <x:v>0.7</x:v>
      </x:c>
      <x:c r="H5" s="20" t="n">
        <x:f>ROUND(D5*G5,1)</x:f>
        <x:v>2.1</x:v>
      </x:c>
      <x:c r="I5" s="20" t="n">
        <x:f>ROUND(E5*G5,1)</x:f>
        <x:v>2.8</x:v>
      </x:c>
      <x:c r="J5" s="20" t="n">
        <x:f>ROUND(F5*G5,1)</x:f>
        <x:v>3.5</x:v>
      </x:c>
      <x:c r="K5" s="20" t="n">
        <x:f>ROUND(I5-E5,1)</x:f>
        <x:v>-1.2</x:v>
      </x:c>
      <x:c r="L5" s="18" t="str">
        <x:v>WBS作成者</x:v>
      </x:c>
      <x:c r="M5" s="18" t="str">
        <x:v>固定係数（参照定数）</x:v>
      </x:c>
      <x:c r="N5" s="18" t="str">
        <x:v>WBS根拠: 固定形式CSV / 係数根拠: 定型実装 0.70</x:v>
      </x:c>
    </x:row>
    <x:row r="6">
      <x:c r="A6" s="18" t="str">
        <x:f>'03_WBS'!A6</x:f>
        <x:v>実装</x:v>
      </x:c>
      <x:c r="B6" s="18" t="str">
        <x:f>'03_WBS'!B6</x:f>
        <x:v>マスタ対応</x:v>
      </x:c>
      <x:c r="C6" s="18" t="str">
        <x:f>'03_WBS'!G6</x:f>
        <x:v>コード隣接</x:v>
      </x:c>
      <x:c r="D6" s="20" t="n">
        <x:f>'03_WBS'!D6</x:f>
        <x:v>3</x:v>
      </x:c>
      <x:c r="E6" s="20" t="n">
        <x:f>'03_WBS'!E6</x:f>
        <x:v>4</x:v>
      </x:c>
      <x:c r="F6" s="20" t="n">
        <x:f>'03_WBS'!F6</x:f>
        <x:v>6</x:v>
      </x:c>
      <x:c r="G6" s="33" t="n">
        <x:v>0.85</x:v>
      </x:c>
      <x:c r="H6" s="20" t="n">
        <x:f>ROUND(D6*G6,1)</x:f>
        <x:v>2.6</x:v>
      </x:c>
      <x:c r="I6" s="20" t="n">
        <x:f>ROUND(E6*G6,1)</x:f>
        <x:v>3.4</x:v>
      </x:c>
      <x:c r="J6" s="20" t="n">
        <x:f>ROUND(F6*G6,1)</x:f>
        <x:v>5.1</x:v>
      </x:c>
      <x:c r="K6" s="20" t="n">
        <x:f>ROUND(I6-E6,1)</x:f>
        <x:v>-0.6</x:v>
      </x:c>
      <x:c r="L6" s="18" t="str">
        <x:v>WBS作成者</x:v>
      </x:c>
      <x:c r="M6" s="18" t="str">
        <x:v>固定係数（参照定数）</x:v>
      </x:c>
      <x:c r="N6" s="18" t="str">
        <x:v>WBS根拠: 明確な対応表 / 係数根拠: コード隣接 0.85</x:v>
      </x:c>
    </x:row>
    <x:row r="7">
      <x:c r="A7" s="18" t="str">
        <x:f>'03_WBS'!A7</x:f>
        <x:v>実装</x:v>
      </x:c>
      <x:c r="B7" s="18" t="str">
        <x:f>'03_WBS'!B7</x:f>
        <x:v>採番・数式配線</x:v>
      </x:c>
      <x:c r="C7" s="18" t="str">
        <x:f>'03_WBS'!G7</x:f>
        <x:v>コード隣接</x:v>
      </x:c>
      <x:c r="D7" s="20" t="n">
        <x:f>'03_WBS'!D7</x:f>
        <x:v>4</x:v>
      </x:c>
      <x:c r="E7" s="20" t="n">
        <x:f>'03_WBS'!E7</x:f>
        <x:v>5</x:v>
      </x:c>
      <x:c r="F7" s="20" t="n">
        <x:f>'03_WBS'!F7</x:f>
        <x:v>7</x:v>
      </x:c>
      <x:c r="G7" s="33" t="n">
        <x:v>0.85</x:v>
      </x:c>
      <x:c r="H7" s="20" t="n">
        <x:f>ROUND(D7*G7,1)</x:f>
        <x:v>3.4</x:v>
      </x:c>
      <x:c r="I7" s="20" t="n">
        <x:f>ROUND(E7*G7,1)</x:f>
        <x:v>4.3</x:v>
      </x:c>
      <x:c r="J7" s="20" t="n">
        <x:f>ROUND(F7*G7,1)</x:f>
        <x:v>6</x:v>
      </x:c>
      <x:c r="K7" s="20" t="n">
        <x:f>ROUND(I7-E7,1)</x:f>
        <x:v>-0.7</x:v>
      </x:c>
      <x:c r="L7" s="18" t="str">
        <x:v>WBS作成者</x:v>
      </x:c>
      <x:c r="M7" s="18" t="str">
        <x:v>固定係数（参照定数）</x:v>
      </x:c>
      <x:c r="N7" s="18" t="str">
        <x:v>WBS根拠: 定義済み規則 / 係数根拠: コード隣接 0.85</x:v>
      </x:c>
    </x:row>
    <x:row r="8">
      <x:c r="A8" s="18" t="str">
        <x:f>'03_WBS'!A8</x:f>
        <x:v>検証</x:v>
      </x:c>
      <x:c r="B8" s="18" t="str">
        <x:f>'03_WBS'!B8</x:f>
        <x:v>テンプレート出力確認</x:v>
      </x:c>
      <x:c r="C8" s="18" t="str">
        <x:f>'03_WBS'!G8</x:f>
        <x:v>検証重</x:v>
      </x:c>
      <x:c r="D8" s="20" t="n">
        <x:f>'03_WBS'!D8</x:f>
        <x:v>3</x:v>
      </x:c>
      <x:c r="E8" s="20" t="n">
        <x:f>'03_WBS'!E8</x:f>
        <x:v>4</x:v>
      </x:c>
      <x:c r="F8" s="20" t="n">
        <x:f>'03_WBS'!F8</x:f>
        <x:v>6</x:v>
      </x:c>
      <x:c r="G8" s="33" t="n">
        <x:v>0.95</x:v>
      </x:c>
      <x:c r="H8" s="20" t="n">
        <x:f>ROUND(D8*G8,1)</x:f>
        <x:v>2.8</x:v>
      </x:c>
      <x:c r="I8" s="20" t="n">
        <x:f>ROUND(E8*G8,1)</x:f>
        <x:v>3.8</x:v>
      </x:c>
      <x:c r="J8" s="20" t="n">
        <x:f>ROUND(F8*G8,1)</x:f>
        <x:v>5.7</x:v>
      </x:c>
      <x:c r="K8" s="20" t="n">
        <x:f>ROUND(I8-E8,1)</x:f>
        <x:v>-0.2</x:v>
      </x:c>
      <x:c r="L8" s="18" t="str">
        <x:v>WBS作成者</x:v>
      </x:c>
      <x:c r="M8" s="18" t="str">
        <x:v>固定係数（参照定数）</x:v>
      </x:c>
      <x:c r="N8" s="18" t="str">
        <x:v>WBS根拠: 厳密な印刷再現 / 係数根拠: 検証重 0.95</x:v>
      </x:c>
    </x:row>
    <x:row r="9">
      <x:c r="A9" s="18" t="str">
        <x:f>'03_WBS'!A9</x:f>
        <x:v>管理</x:v>
      </x:c>
      <x:c r="B9" s="18" t="str">
        <x:f>'03_WBS'!B9</x:f>
        <x:v>受入・引継ぎ</x:v>
      </x:c>
      <x:c r="C9" s="18" t="str">
        <x:f>'03_WBS'!G9</x:f>
        <x:v>削減不可</x:v>
      </x:c>
      <x:c r="D9" s="20" t="n">
        <x:f>'03_WBS'!D9</x:f>
        <x:v>2</x:v>
      </x:c>
      <x:c r="E9" s="20" t="n">
        <x:f>'03_WBS'!E9</x:f>
        <x:v>3</x:v>
      </x:c>
      <x:c r="F9" s="20" t="n">
        <x:f>'03_WBS'!F9</x:f>
        <x:v>4</x:v>
      </x:c>
      <x:c r="G9" s="33" t="n">
        <x:v>1</x:v>
      </x:c>
      <x:c r="H9" s="20" t="n">
        <x:f>ROUND(D9*G9,1)</x:f>
        <x:v>2</x:v>
      </x:c>
      <x:c r="I9" s="20" t="n">
        <x:f>ROUND(E9*G9,1)</x:f>
        <x:v>3</x:v>
      </x:c>
      <x:c r="J9" s="20" t="n">
        <x:f>ROUND(F9*G9,1)</x:f>
        <x:v>4</x:v>
      </x:c>
      <x:c r="K9" s="20" t="n">
        <x:f>ROUND(I9-E9,1)</x:f>
        <x:v>0</x:v>
      </x:c>
      <x:c r="L9" s="18" t="str">
        <x:v>WBS作成者</x:v>
      </x:c>
      <x:c r="M9" s="18" t="str">
        <x:v>固定係数（参照定数）</x:v>
      </x:c>
      <x:c r="N9" s="18" t="str">
        <x:v>WBS根拠: 人間の受入 / 係数根拠: 削減不可 1.00</x:v>
      </x:c>
    </x:row>
    <x:row r="10">
      <x:c r="A10" s="29" t="str">
        <x:v>合計</x:v>
      </x:c>
      <x:c r="B10" s="24"/>
      <x:c r="C10" s="24"/>
      <x:c r="D10" s="25" t="n">
        <x:f>SUM(D4:D9)</x:f>
        <x:v>17</x:v>
      </x:c>
      <x:c r="E10" s="25" t="n">
        <x:f>SUM(E4:E9)</x:f>
        <x:v>23</x:v>
      </x:c>
      <x:c r="F10" s="25" t="n">
        <x:f>SUM(F4:F9)</x:f>
        <x:v>32</x:v>
      </x:c>
      <x:c r="G10" s="25"/>
      <x:c r="H10" s="25" t="n">
        <x:f>ROUND(SUM(H4:H9),1)</x:f>
        <x:v>14.3</x:v>
      </x:c>
      <x:c r="I10" s="25" t="n">
        <x:f>ROUND(SUM(I4:I9),1)</x:f>
        <x:v>19.4</x:v>
      </x:c>
      <x:c r="J10" s="25" t="n">
        <x:f>ROUND(SUM(J4:J9),1)</x:f>
        <x:v>27.1</x:v>
      </x:c>
      <x:c r="K10" s="25" t="n">
        <x:f>ROUND(SUM(K4:K9),1)</x:f>
        <x:v>-3.6</x:v>
      </x:c>
      <x:c r="L10" s="24" t="str">
        <x:v>Rawと補正後を別掲</x:v>
      </x:c>
      <x:c r="M10" s="24"/>
      <x:c r="N10" s="30"/>
    </x:row>
  </x:sheetData>
  <x:mergeCells>
    <x:mergeCell ref="A1:N1"/>
    <x:mergeCell ref="A2:N2"/>
    <x:mergeCell ref="A10:C10"/>
    <x:mergeCell ref="L10:N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</x:cols>
  <x:sheetData>
    <x:row r="1" ht="30" customHeight="1">
      <x:c r="A1" s="3" t="str">
        <x:v>親統合（合成比較）</x:v>
      </x:c>
      <x:c r="B1" s="3"/>
      <x:c r="C1" s="3"/>
      <x:c r="D1" s="3"/>
      <x:c r="E1" s="3"/>
      <x:c r="F1" s="3"/>
    </x:row>
    <x:row r="3">
      <x:c r="A3" s="11" t="str">
        <x:v>観測</x:v>
      </x:c>
      <x:c r="B3" s="11" t="str">
        <x:v>Low</x:v>
      </x:c>
      <x:c r="C3" s="11" t="str">
        <x:v>Base</x:v>
      </x:c>
      <x:c r="D3" s="11" t="str">
        <x:v>High</x:v>
      </x:c>
      <x:c r="E3" s="11" t="str">
        <x:v>依存関係</x:v>
      </x:c>
      <x:c r="F3" s="11" t="str">
        <x:v>扱い</x:v>
      </x:c>
    </x:row>
    <x:row r="4">
      <x:c r="A4" s="17" t="str">
        <x:v>WBS raw</x:v>
      </x:c>
      <x:c r="B4" s="19" t="n">
        <x:f>'03_WBS'!D10</x:f>
        <x:v>17</x:v>
      </x:c>
      <x:c r="C4" s="19" t="n">
        <x:f>'03_WBS'!E10</x:f>
        <x:v>23</x:v>
      </x:c>
      <x:c r="D4" s="19" t="n">
        <x:f>'03_WBS'!F10</x:f>
        <x:v>32</x:v>
      </x:c>
      <x:c r="E4" s="17" t="str">
        <x:v>独立baseline</x:v>
      </x:c>
      <x:c r="F4" s="17" t="str">
        <x:v>Raw監査線</x:v>
      </x:c>
    </x:row>
    <x:row r="5">
      <x:c r="A5" s="18" t="str">
        <x:v>AI補正</x:v>
      </x:c>
      <x:c r="B5" s="20" t="n">
        <x:f>'10_AI補正'!H10</x:f>
        <x:v>14.3</x:v>
      </x:c>
      <x:c r="C5" s="20" t="n">
        <x:f>'10_AI補正'!I10</x:f>
        <x:v>19.4</x:v>
      </x:c>
      <x:c r="D5" s="20" t="n">
        <x:f>'10_AI補正'!J10</x:f>
        <x:v>27.1</x:v>
      </x:c>
      <x:c r="E5" s="18" t="str">
        <x:v>WBSに従属</x:v>
      </x:c>
      <x:c r="F5" s="18" t="str">
        <x:v>生産性シナリオ</x:v>
      </x:c>
    </x:row>
    <x:row r="6">
      <x:c r="A6" s="18" t="str">
        <x:v>類推レンジ（合成）</x:v>
      </x:c>
      <x:c r="B6" s="20" t="n">
        <x:v>20</x:v>
      </x:c>
      <x:c r="C6" s="20" t="n">
        <x:v>26</x:v>
      </x:c>
      <x:c r="D6" s="20" t="n">
        <x:v>36</x:v>
      </x:c>
      <x:c r="E6" s="18" t="str">
        <x:v>独立な合成anchor</x:v>
      </x:c>
      <x:c r="F6" s="18" t="str">
        <x:v>範囲比較のみ</x:v>
      </x:c>
    </x:row>
    <x:row r="8" ht="30" customHeight="1">
      <x:c r="A8" s="31" t="str">
        <x:v>注: すべて架空の数値です。価格・契約・実案件の判断には使用しません。</x:v>
      </x:c>
      <x:c r="B8" s="31"/>
      <x:c r="C8" s="31"/>
      <x:c r="D8" s="31"/>
      <x:c r="E8" s="31"/>
      <x:c r="F8" s="31"/>
    </x:row>
  </x:sheetData>
  <x:mergeCells>
    <x:mergeCell ref="A1:F1"/>
    <x:mergeCell ref="A8:F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4" hidden="0" customWidth="1"/>
    <x:col min="4" max="4" width="42" hidden="0" customWidth="1"/>
  </x:cols>
  <x:sheetData>
    <x:row r="1" ht="30" customHeight="1">
      <x:c r="A1" s="3" t="str">
        <x:v>前提・リスク（合成ケース）</x:v>
      </x:c>
      <x:c r="B1" s="3"/>
      <x:c r="C1" s="3"/>
      <x:c r="D1" s="3"/>
    </x:row>
    <x:row r="3">
      <x:c r="A3" s="11" t="str">
        <x:v>種別</x:v>
      </x:c>
      <x:c r="B3" s="11" t="str">
        <x:v>前提・リスク</x:v>
      </x:c>
      <x:c r="C3" s="11" t="str">
        <x:v>状態</x:v>
      </x:c>
      <x:c r="D3" s="11" t="str">
        <x:v>証拠・対応</x:v>
      </x:c>
    </x:row>
    <x:row r="4">
      <x:c r="A4" s="34" t="str">
        <x:v>データ</x:v>
      </x:c>
      <x:c r="B4" s="17" t="str">
        <x:v>すべての名称・件数・工数は架空</x:v>
      </x:c>
      <x:c r="C4" s="36" t="str">
        <x:v>確認済み</x:v>
      </x:c>
      <x:c r="D4" s="17" t="str">
        <x:v>sample validatorで固定文字列と構造を検査</x:v>
      </x:c>
    </x:row>
    <x:row r="5">
      <x:c r="A5" s="35" t="str">
        <x:v>機密</x:v>
      </x:c>
      <x:c r="B5" s="18" t="str">
        <x:v>実在の社名・個人名・メール・秘密情報を含めない</x:v>
      </x:c>
      <x:c r="C5" s="23" t="str">
        <x:v>確認済み</x:v>
      </x:c>
      <x:c r="D5" s="18" t="str">
        <x:v>allowlistと機密パターンscan</x:v>
      </x:c>
    </x:row>
    <x:row r="6">
      <x:c r="A6" s="35" t="str">
        <x:v>範囲</x:v>
      </x:c>
      <x:c r="B6" s="18" t="str">
        <x:v>CSV取込とExcelテンプレート中心の薄い実装</x:v>
      </x:c>
      <x:c r="C6" s="23" t="str">
        <x:v>固定</x:v>
      </x:c>
      <x:c r="D6" s="18" t="str">
        <x:v>03_WBSの行別根拠</x:v>
      </x:c>
    </x:row>
    <x:row r="7">
      <x:c r="A7" s="35" t="str">
        <x:v>検証</x:v>
      </x:c>
      <x:c r="B7" s="18" t="str">
        <x:v>テンプレート出力は厳密な印刷再現を要求</x:v>
      </x:c>
      <x:c r="C7" s="23" t="str">
        <x:v>固定</x:v>
      </x:c>
      <x:c r="D7" s="18" t="str">
        <x:v>検証重 0.95</x:v>
      </x:c>
    </x:row>
    <x:row r="8">
      <x:c r="A8" s="35" t="str">
        <x:v>限界</x:v>
      </x:c>
      <x:c r="B8" s="18" t="str">
        <x:v>実案件の精度や一般的優位性を示さない</x:v>
      </x:c>
      <x:c r="C8" s="23" t="str">
        <x:v>明記</x:v>
      </x:c>
      <x:c r="D8" s="18" t="str">
        <x:v>ポートフォリオ表示専用</x:v>
      </x:c>
    </x:row>
  </x:sheetData>
  <x:mergeCells>
    <x:mergeCell ref="A1:D1"/>
  </x:mergeCells>
  <x:pageMargins left="0.7" right="0.7" top="0.75" bottom="0.75" header="0.3" footer="0.3"/>
</x:worksheet>
</file>